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nar\Desktop\elanlar\"/>
    </mc:Choice>
  </mc:AlternateContent>
  <xr:revisionPtr revIDLastSave="0" documentId="13_ncr:1_{2F27B22E-238A-4030-8B3D-1F361EB4DD6A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line-up 2026" sheetId="3" r:id="rId1"/>
    <sheet name="silinen mallar" sheetId="4" state="hidden" r:id="rId2"/>
  </sheets>
  <definedNames>
    <definedName name="_xlnm._FilterDatabase" localSheetId="0" hidden="1">'line-up 2026'!$A$3:$M$20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3" l="1"/>
  <c r="I16" i="3"/>
  <c r="I13" i="3"/>
  <c r="I12" i="3"/>
  <c r="I11" i="3"/>
  <c r="I9" i="3"/>
  <c r="I8" i="3"/>
  <c r="I7" i="3"/>
  <c r="I18" i="3"/>
  <c r="I17" i="3"/>
  <c r="I15" i="3" l="1"/>
  <c r="I14" i="3"/>
  <c r="I6" i="3"/>
  <c r="I4" i="3"/>
  <c r="L15" i="3"/>
  <c r="L9" i="3" l="1"/>
  <c r="L16" i="3" l="1"/>
  <c r="L13" i="3"/>
  <c r="L19" i="3" l="1"/>
  <c r="L4" i="3"/>
  <c r="L7" i="3"/>
  <c r="L18" i="3"/>
  <c r="L6" i="3"/>
  <c r="L12" i="3"/>
  <c r="J5" i="4"/>
  <c r="J4" i="4"/>
  <c r="J3" i="4"/>
  <c r="L14" i="3"/>
  <c r="L17" i="3"/>
  <c r="L11" i="3"/>
  <c r="L8" i="3"/>
  <c r="B1" i="3"/>
</calcChain>
</file>

<file path=xl/sharedStrings.xml><?xml version="1.0" encoding="utf-8"?>
<sst xmlns="http://schemas.openxmlformats.org/spreadsheetml/2006/main" count="123" uniqueCount="72">
  <si>
    <t>DS 4160 E</t>
  </si>
  <si>
    <t>DS 4180 E</t>
  </si>
  <si>
    <t>DSZ 5175</t>
  </si>
  <si>
    <t>Kateqoriya</t>
  </si>
  <si>
    <t>Stok kod</t>
  </si>
  <si>
    <t>FREEZER INDESIT DSZ 5175</t>
  </si>
  <si>
    <t>FRIDGER INDESIT DS 4160 E</t>
  </si>
  <si>
    <t>FRIDGER INDESIT DS 4180 E</t>
  </si>
  <si>
    <t>Şəkil</t>
  </si>
  <si>
    <t>Stok Ad</t>
  </si>
  <si>
    <t>İstehsal</t>
  </si>
  <si>
    <t>Diler qiymət, (USD)</t>
  </si>
  <si>
    <t>Promo qiymət,  (AZN)</t>
  </si>
  <si>
    <t>Pərakəndə qiymət, (AZN)</t>
  </si>
  <si>
    <t>Qeyd</t>
  </si>
  <si>
    <t>Rusiya</t>
  </si>
  <si>
    <t>Dondurucu</t>
  </si>
  <si>
    <t>Soyuducu</t>
  </si>
  <si>
    <t>Defrost /Həcm:261 L /175x60x64 sm / Ağ/A</t>
  </si>
  <si>
    <t xml:space="preserve">Defrost / Alt  dondurucu / Həcm : 310 L /Display : Yox /Mexaniki idarəetmə /185x60x64sm /Bej / A </t>
  </si>
  <si>
    <t xml:space="preserve">Defrost / Alt  dondurucu / Həcm : 269 L /Display : Yox /Meaniki idarəetmə /167x60x66,5sm/Bej / A </t>
  </si>
  <si>
    <t xml:space="preserve">Texniki göstərici </t>
  </si>
  <si>
    <t>De Frost Soyuducu:</t>
  </si>
  <si>
    <t>No Frost Soyuducu:</t>
  </si>
  <si>
    <r>
      <t xml:space="preserve"> </t>
    </r>
    <r>
      <rPr>
        <b/>
        <sz val="11"/>
        <color rgb="FFC00000"/>
        <rFont val="Times New Roman"/>
        <family val="1"/>
      </rPr>
      <t xml:space="preserve">Endirimli </t>
    </r>
    <r>
      <rPr>
        <b/>
        <sz val="11"/>
        <color theme="0"/>
        <rFont val="Times New Roman"/>
        <family val="1"/>
      </rPr>
      <t>Diler qiymət, (USD)</t>
    </r>
  </si>
  <si>
    <t>Endirim faizi, %</t>
  </si>
  <si>
    <t>900-01</t>
  </si>
  <si>
    <r>
      <t xml:space="preserve"> </t>
    </r>
    <r>
      <rPr>
        <b/>
        <sz val="11"/>
        <color rgb="FFC00000"/>
        <rFont val="Times New Roman"/>
        <family val="1"/>
        <charset val="204"/>
      </rPr>
      <t xml:space="preserve">Endirimli </t>
    </r>
    <r>
      <rPr>
        <b/>
        <sz val="11"/>
        <color theme="0"/>
        <rFont val="Times New Roman"/>
        <family val="1"/>
        <charset val="204"/>
      </rPr>
      <t>Diler qiymət, (USD)</t>
    </r>
  </si>
  <si>
    <t>900-07</t>
  </si>
  <si>
    <t>Stock</t>
  </si>
  <si>
    <t xml:space="preserve">Soyuducu </t>
  </si>
  <si>
    <t>FRIDGER INDESIT ITS 5180 G</t>
  </si>
  <si>
    <t>FRIDGER INDESIT ITS 5180 XB</t>
  </si>
  <si>
    <t>FRIDGER INDESIT ITS 4180 G</t>
  </si>
  <si>
    <t>ITS 4180 G</t>
  </si>
  <si>
    <t>DS 4160 G</t>
  </si>
  <si>
    <t>FRIDGER INDESIT DS 4160 G</t>
  </si>
  <si>
    <t>ITS 5180 XB</t>
  </si>
  <si>
    <t>ITS 5180 G</t>
  </si>
  <si>
    <t>TIA 16 G</t>
  </si>
  <si>
    <t>FRIDGER INDESIT TIA 16 G</t>
  </si>
  <si>
    <t>DS 4180 G</t>
  </si>
  <si>
    <t>FRIDGER INDESIT DS 4180 G</t>
  </si>
  <si>
    <t>ITS 4160 G</t>
  </si>
  <si>
    <t>ITS 4200 G</t>
  </si>
  <si>
    <t>FRIDGER INDESIT ITS 4200 G</t>
  </si>
  <si>
    <t>ITS 5200 XB</t>
  </si>
  <si>
    <t>FRIDGER INDESIT ITS 5200 XB</t>
  </si>
  <si>
    <t>ITS 4180 NG</t>
  </si>
  <si>
    <t>ITS 5180 NG</t>
  </si>
  <si>
    <t>FRIDGER INDESIT ITS 5180 NG</t>
  </si>
  <si>
    <t>FRIDGER INDESIT ITS 4180 NG</t>
  </si>
  <si>
    <t>DS 4200 G</t>
  </si>
  <si>
    <t>FRIDGER INDESIT DS 4200 G</t>
  </si>
  <si>
    <t>DFZ 4150 G</t>
  </si>
  <si>
    <t>ITS 4200 NG</t>
  </si>
  <si>
    <t>FRIDGER INDESIT ITS 4200 NG</t>
  </si>
  <si>
    <t>FREEZER INDESIT DFZ 4150 G</t>
  </si>
  <si>
    <t>No frost , Həcm 204 L,150x60x62 sm,  Gümüşü rəng, Enerji sinfi  B</t>
  </si>
  <si>
    <t xml:space="preserve">Defrost,  Üst dondurucu,  Həcm 296 L, Meaniki idarəetmə, 167x60x66,5sm, Gümüşü rəng, Enerji sinfi  A </t>
  </si>
  <si>
    <t xml:space="preserve">Low frost,  Alt  dondurucu,  Həcm  269 L Meaniki idarəetmə, 167x60x62sm , Gümüşü rəng, Enerji sinfi  A </t>
  </si>
  <si>
    <t xml:space="preserve">Defrost,  Alt  dondurucu,  Həcm  310 L,  Mexaniki idarəetmə, 185x60x62sm,  Gümüşü rəng , Enerji sinfi A </t>
  </si>
  <si>
    <t xml:space="preserve">Defrost, Alt  dondurucu ,  Həcm  339 L, Mexaniki idarəetmə, 196x60x64sm , Qara rəng, Enerji sinfi  A </t>
  </si>
  <si>
    <t xml:space="preserve">Nofrost , Alt  dondurucu,  Həcm  257 L, Mexaniki idarəetmə, 167x60x62sm , Gümüşü rəng, Enerji sinfi A </t>
  </si>
  <si>
    <t xml:space="preserve">Nofrost, Alt  dondurucu ,  Həcm  298 L,  Mexaniki idarəetmə , 185x60x62sm,  Gümüşü rəng,  Enerji sinfi  A </t>
  </si>
  <si>
    <t xml:space="preserve">Nofrost , Alt  dondurucu , Həcm 325 L, Mexaniki idarəetmə,  196x60x62sm,  Gümüşü  rəng,  Enerji sinfi A </t>
  </si>
  <si>
    <t xml:space="preserve">Nofrost , Alt  dondurucu , Həcm 298 L, Mexaniki idarəetmə,  185x60x62sm,  Gümüşü rəng , Enerji sinfi A </t>
  </si>
  <si>
    <t xml:space="preserve">Nofrost, Alt  dondurucu ,  Həcm  298 L,  Sensor  idarəetmə , 185x60x62sm,  Gümüşü rəng,  Enerji sinfi  A </t>
  </si>
  <si>
    <t xml:space="preserve">Nofrost, Alt  dondurucu ,  Həcm  298 L,  Sensor  idarəetmə , 185x60x64sm,  Gümüşü rəng,  Enerji sinfi  A </t>
  </si>
  <si>
    <t xml:space="preserve">Nofrost, Alt  dondurucu ,  Həcm  325 L,  Sensor  idarəetmə , 185x60x64sm,  Gümüşü rəng,  Enerji sinfi  A </t>
  </si>
  <si>
    <t/>
  </si>
  <si>
    <t>FRIDGER INDESIT ITS 4160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</si>
</sst>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164" formatCode="_-* #,##0.00\ _₽_-;\-* #,##0.00\ _₽_-;_-* &quot;-&quot;??\ _₽_-;_-@_-"/>
    <numFmt numFmtId="165" formatCode="_-* #,##0\ [$USD]_-;\-* #,##0\ [$USD]_-;_-* &quot;-&quot;??\ [$USD]_-;_-@_-"/>
    <numFmt numFmtId="166" formatCode="_-* #,##0\ _₽_-;\-* #,##0\ _₽_-;_-* &quot;-&quot;??\ _₽_-;_-@_-"/>
    <numFmt numFmtId="167" formatCode="[$€-2]\ #,##0"/>
    <numFmt numFmtId="168" formatCode="_-[$€-2]\ * #,##0.00_-;\-[$€-2]\ * #,##0.00_-;_-[$€-2]\ * &quot;-&quot;??_-;_-@_-"/>
    <numFmt numFmtId="169" formatCode="[$$-409]#,##0"/>
    <numFmt numFmtId="170" formatCode="_-[$$-409]* #,##0_ ;_-[$$-409]* \-#,##0\ ;_-[$$-409]* &quot;-&quot;??_ ;_-@_ "/>
    <numFmt numFmtId="171" formatCode="0&quot; AZN&quot;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indexed="8"/>
      <name val="Calibri"/>
      <family val="2"/>
    </font>
    <font>
      <sz val="8"/>
      <name val="Arial"/>
      <family val="2"/>
    </font>
    <font>
      <sz val="10"/>
      <name val="Helv"/>
      <family val="2"/>
    </font>
    <font>
      <sz val="11"/>
      <color theme="1"/>
      <name val="Times New Roman"/>
      <family val="1"/>
    </font>
    <font>
      <b/>
      <sz val="11"/>
      <color rgb="FF000099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0"/>
      <name val="Times New Roman"/>
      <family val="1"/>
    </font>
    <font>
      <b/>
      <sz val="11"/>
      <color rgb="FFC00000"/>
      <name val="Times New Roman"/>
      <family val="1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11"/>
      <color rgb="FF000099"/>
      <name val="Times New Roman"/>
      <family val="1"/>
      <charset val="204"/>
    </font>
    <font>
      <b/>
      <sz val="11"/>
      <color theme="0"/>
      <name val="Times New Roman"/>
      <family val="1"/>
      <charset val="204"/>
    </font>
    <font>
      <b/>
      <sz val="11"/>
      <color rgb="FFC0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rgb="FF000099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0"/>
      <name val="Times New Roman"/>
      <family val="1"/>
      <charset val="204"/>
    </font>
    <font>
      <b/>
      <sz val="12"/>
      <color theme="0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3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indexed="64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indexed="64"/>
      </left>
      <right style="dotted">
        <color auto="1"/>
      </right>
      <top style="dotted">
        <color auto="1"/>
      </top>
      <bottom style="medium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medium">
        <color indexed="64"/>
      </bottom>
      <diagonal/>
    </border>
    <border>
      <left style="medium">
        <color indexed="64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medium">
        <color indexed="64"/>
      </bottom>
      <diagonal/>
    </border>
    <border>
      <left style="dotted">
        <color auto="1"/>
      </left>
      <right style="thin">
        <color indexed="64"/>
      </right>
      <top style="dotted">
        <color auto="1"/>
      </top>
      <bottom style="dotted">
        <color auto="1"/>
      </bottom>
      <diagonal/>
    </border>
    <border>
      <left/>
      <right style="medium">
        <color indexed="64"/>
      </right>
      <top style="dotted">
        <color auto="1"/>
      </top>
      <bottom style="dotted">
        <color auto="1"/>
      </bottom>
      <diagonal/>
    </border>
    <border>
      <left/>
      <right style="medium">
        <color indexed="64"/>
      </right>
      <top style="dotted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medium">
        <color indexed="64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tted">
        <color auto="1"/>
      </left>
      <right style="medium">
        <color indexed="64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indexed="64"/>
      </right>
      <top style="dotted">
        <color auto="1"/>
      </top>
      <bottom style="medium">
        <color indexed="64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medium">
        <color indexed="64"/>
      </right>
      <top/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medium">
        <color indexed="64"/>
      </right>
      <top style="dashed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/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dashed">
        <color indexed="64"/>
      </right>
      <top style="dashed">
        <color indexed="64"/>
      </top>
      <bottom style="medium">
        <color indexed="64"/>
      </bottom>
      <diagonal/>
    </border>
  </borders>
  <cellStyleXfs count="11">
    <xf numFmtId="0" fontId="0" fillId="0" borderId="0"/>
    <xf numFmtId="9" fontId="1" fillId="0" borderId="0" applyFont="0" applyFill="0" applyBorder="0" applyAlignment="0" applyProtection="0"/>
    <xf numFmtId="0" fontId="1" fillId="0" borderId="0"/>
    <xf numFmtId="165" fontId="2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3" fillId="0" borderId="0"/>
    <xf numFmtId="165" fontId="4" fillId="0" borderId="0"/>
    <xf numFmtId="44" fontId="1" fillId="0" borderId="0" applyFont="0" applyFill="0" applyBorder="0" applyAlignment="0" applyProtection="0"/>
  </cellStyleXfs>
  <cellXfs count="129">
    <xf numFmtId="0" fontId="0" fillId="0" borderId="0" xfId="0"/>
    <xf numFmtId="0" fontId="5" fillId="0" borderId="0" xfId="2" applyFont="1" applyAlignment="1">
      <alignment vertical="center"/>
    </xf>
    <xf numFmtId="0" fontId="8" fillId="0" borderId="5" xfId="2" applyFont="1" applyBorder="1" applyAlignment="1">
      <alignment vertical="center" wrapText="1"/>
    </xf>
    <xf numFmtId="0" fontId="8" fillId="0" borderId="5" xfId="0" applyFont="1" applyBorder="1" applyAlignment="1">
      <alignment horizontal="center" vertical="center"/>
    </xf>
    <xf numFmtId="0" fontId="10" fillId="0" borderId="5" xfId="2" applyFont="1" applyBorder="1" applyAlignment="1">
      <alignment horizontal="left" vertical="center" wrapText="1"/>
    </xf>
    <xf numFmtId="0" fontId="9" fillId="0" borderId="5" xfId="2" applyFont="1" applyBorder="1" applyAlignment="1">
      <alignment horizontal="left" vertical="center" wrapText="1"/>
    </xf>
    <xf numFmtId="0" fontId="7" fillId="0" borderId="6" xfId="2" applyFont="1" applyBorder="1" applyAlignment="1">
      <alignment horizontal="left" vertical="center" wrapText="1"/>
    </xf>
    <xf numFmtId="0" fontId="7" fillId="0" borderId="7" xfId="2" applyFont="1" applyBorder="1" applyAlignment="1">
      <alignment horizontal="left" vertical="center" wrapText="1"/>
    </xf>
    <xf numFmtId="0" fontId="5" fillId="0" borderId="8" xfId="2" applyFont="1" applyBorder="1" applyAlignment="1">
      <alignment vertical="center"/>
    </xf>
    <xf numFmtId="0" fontId="8" fillId="0" borderId="8" xfId="2" applyFont="1" applyBorder="1" applyAlignment="1">
      <alignment vertical="center" wrapText="1"/>
    </xf>
    <xf numFmtId="0" fontId="8" fillId="0" borderId="8" xfId="0" applyFont="1" applyBorder="1" applyAlignment="1">
      <alignment horizontal="center" vertical="center"/>
    </xf>
    <xf numFmtId="0" fontId="7" fillId="0" borderId="8" xfId="2" applyFont="1" applyBorder="1" applyAlignment="1">
      <alignment horizontal="left" vertical="center" wrapText="1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 wrapText="1"/>
    </xf>
    <xf numFmtId="169" fontId="11" fillId="3" borderId="3" xfId="0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vertical="center"/>
    </xf>
    <xf numFmtId="171" fontId="11" fillId="3" borderId="3" xfId="0" applyNumberFormat="1" applyFont="1" applyFill="1" applyBorder="1" applyAlignment="1">
      <alignment horizontal="center" vertical="center" wrapText="1"/>
    </xf>
    <xf numFmtId="170" fontId="11" fillId="3" borderId="17" xfId="0" applyNumberFormat="1" applyFont="1" applyFill="1" applyBorder="1" applyAlignment="1">
      <alignment horizontal="center" vertical="center" wrapText="1"/>
    </xf>
    <xf numFmtId="171" fontId="7" fillId="2" borderId="14" xfId="0" applyNumberFormat="1" applyFont="1" applyFill="1" applyBorder="1" applyAlignment="1">
      <alignment horizontal="center" vertical="center"/>
    </xf>
    <xf numFmtId="171" fontId="7" fillId="2" borderId="13" xfId="0" applyNumberFormat="1" applyFont="1" applyFill="1" applyBorder="1" applyAlignment="1">
      <alignment horizontal="center" vertical="center"/>
    </xf>
    <xf numFmtId="0" fontId="12" fillId="0" borderId="15" xfId="2" applyFont="1" applyBorder="1" applyAlignment="1">
      <alignment horizontal="center" vertical="center"/>
    </xf>
    <xf numFmtId="0" fontId="12" fillId="0" borderId="16" xfId="2" applyFont="1" applyBorder="1" applyAlignment="1">
      <alignment horizontal="center" vertical="center"/>
    </xf>
    <xf numFmtId="169" fontId="12" fillId="4" borderId="5" xfId="0" applyNumberFormat="1" applyFont="1" applyFill="1" applyBorder="1" applyAlignment="1">
      <alignment horizontal="center" vertical="center"/>
    </xf>
    <xf numFmtId="169" fontId="12" fillId="4" borderId="8" xfId="0" applyNumberFormat="1" applyFont="1" applyFill="1" applyBorder="1" applyAlignment="1">
      <alignment horizontal="center" vertical="center"/>
    </xf>
    <xf numFmtId="0" fontId="8" fillId="2" borderId="0" xfId="2" applyFont="1" applyFill="1" applyAlignment="1">
      <alignment horizontal="center" vertical="center"/>
    </xf>
    <xf numFmtId="0" fontId="5" fillId="0" borderId="0" xfId="1" applyNumberFormat="1" applyFont="1" applyFill="1" applyAlignment="1">
      <alignment horizontal="center" vertical="center"/>
    </xf>
    <xf numFmtId="0" fontId="11" fillId="3" borderId="18" xfId="0" applyFont="1" applyFill="1" applyBorder="1" applyAlignment="1">
      <alignment horizontal="center" vertical="center"/>
    </xf>
    <xf numFmtId="171" fontId="11" fillId="3" borderId="4" xfId="0" applyNumberFormat="1" applyFont="1" applyFill="1" applyBorder="1" applyAlignment="1">
      <alignment horizontal="center" vertical="center" wrapText="1"/>
    </xf>
    <xf numFmtId="171" fontId="7" fillId="2" borderId="21" xfId="0" applyNumberFormat="1" applyFont="1" applyFill="1" applyBorder="1" applyAlignment="1">
      <alignment horizontal="center" vertical="center"/>
    </xf>
    <xf numFmtId="169" fontId="11" fillId="3" borderId="2" xfId="0" applyNumberFormat="1" applyFont="1" applyFill="1" applyBorder="1" applyAlignment="1">
      <alignment horizontal="center" vertical="center" wrapText="1"/>
    </xf>
    <xf numFmtId="9" fontId="11" fillId="3" borderId="22" xfId="1" applyFont="1" applyFill="1" applyBorder="1" applyAlignment="1">
      <alignment horizontal="center" vertical="center" wrapText="1"/>
    </xf>
    <xf numFmtId="169" fontId="7" fillId="2" borderId="6" xfId="0" applyNumberFormat="1" applyFont="1" applyFill="1" applyBorder="1" applyAlignment="1">
      <alignment horizontal="center" vertical="center"/>
    </xf>
    <xf numFmtId="9" fontId="12" fillId="4" borderId="23" xfId="1" applyFont="1" applyFill="1" applyBorder="1" applyAlignment="1">
      <alignment horizontal="center" vertical="center"/>
    </xf>
    <xf numFmtId="169" fontId="7" fillId="2" borderId="7" xfId="0" applyNumberFormat="1" applyFont="1" applyFill="1" applyBorder="1" applyAlignment="1">
      <alignment horizontal="center" vertical="center"/>
    </xf>
    <xf numFmtId="9" fontId="12" fillId="4" borderId="24" xfId="1" applyFont="1" applyFill="1" applyBorder="1" applyAlignment="1">
      <alignment horizontal="center" vertical="center"/>
    </xf>
    <xf numFmtId="0" fontId="6" fillId="0" borderId="25" xfId="1" applyNumberFormat="1" applyFont="1" applyFill="1" applyBorder="1" applyAlignment="1">
      <alignment horizontal="center" vertical="center"/>
    </xf>
    <xf numFmtId="9" fontId="6" fillId="2" borderId="0" xfId="1" applyFont="1" applyFill="1" applyAlignment="1">
      <alignment horizontal="center" vertical="center"/>
    </xf>
    <xf numFmtId="0" fontId="6" fillId="0" borderId="0" xfId="1" applyNumberFormat="1" applyFont="1" applyFill="1" applyAlignment="1">
      <alignment horizontal="center" vertical="center"/>
    </xf>
    <xf numFmtId="0" fontId="13" fillId="2" borderId="0" xfId="2" applyFont="1" applyFill="1" applyAlignment="1">
      <alignment vertical="center"/>
    </xf>
    <xf numFmtId="14" fontId="13" fillId="2" borderId="0" xfId="2" applyNumberFormat="1" applyFont="1" applyFill="1" applyAlignment="1">
      <alignment horizontal="center" vertical="center"/>
    </xf>
    <xf numFmtId="0" fontId="13" fillId="2" borderId="0" xfId="2" applyFont="1" applyFill="1" applyAlignment="1">
      <alignment vertical="center" wrapText="1"/>
    </xf>
    <xf numFmtId="0" fontId="14" fillId="2" borderId="0" xfId="2" applyFont="1" applyFill="1" applyAlignment="1">
      <alignment vertical="center"/>
    </xf>
    <xf numFmtId="168" fontId="14" fillId="2" borderId="0" xfId="2" applyNumberFormat="1" applyFont="1" applyFill="1" applyAlignment="1">
      <alignment horizontal="center" vertical="center"/>
    </xf>
    <xf numFmtId="167" fontId="13" fillId="2" borderId="0" xfId="2" applyNumberFormat="1" applyFont="1" applyFill="1" applyAlignment="1">
      <alignment horizontal="center" vertical="center"/>
    </xf>
    <xf numFmtId="166" fontId="14" fillId="2" borderId="0" xfId="6" applyNumberFormat="1" applyFont="1" applyFill="1" applyAlignment="1">
      <alignment horizontal="center" vertical="center"/>
    </xf>
    <xf numFmtId="9" fontId="14" fillId="2" borderId="0" xfId="1" applyFont="1" applyFill="1" applyAlignment="1">
      <alignment horizontal="center" vertical="center"/>
    </xf>
    <xf numFmtId="0" fontId="15" fillId="0" borderId="0" xfId="2" applyFont="1" applyAlignment="1">
      <alignment horizontal="center" vertical="center"/>
    </xf>
    <xf numFmtId="166" fontId="16" fillId="2" borderId="0" xfId="6" applyNumberFormat="1" applyFont="1" applyFill="1" applyAlignment="1">
      <alignment horizontal="center" vertical="center"/>
    </xf>
    <xf numFmtId="9" fontId="16" fillId="2" borderId="0" xfId="1" applyFont="1" applyFill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 wrapText="1"/>
    </xf>
    <xf numFmtId="169" fontId="17" fillId="3" borderId="3" xfId="0" applyNumberFormat="1" applyFont="1" applyFill="1" applyBorder="1" applyAlignment="1">
      <alignment horizontal="center" vertical="center" wrapText="1"/>
    </xf>
    <xf numFmtId="9" fontId="17" fillId="3" borderId="22" xfId="1" applyFont="1" applyFill="1" applyBorder="1" applyAlignment="1">
      <alignment horizontal="center" vertical="center" wrapText="1"/>
    </xf>
    <xf numFmtId="0" fontId="13" fillId="0" borderId="10" xfId="2" applyFont="1" applyBorder="1" applyAlignment="1">
      <alignment horizontal="left" vertical="center" wrapText="1"/>
    </xf>
    <xf numFmtId="169" fontId="18" fillId="4" borderId="5" xfId="0" applyNumberFormat="1" applyFont="1" applyFill="1" applyBorder="1" applyAlignment="1">
      <alignment horizontal="center" vertical="center"/>
    </xf>
    <xf numFmtId="9" fontId="18" fillId="4" borderId="23" xfId="1" applyFont="1" applyFill="1" applyBorder="1" applyAlignment="1">
      <alignment horizontal="center" vertical="center"/>
    </xf>
    <xf numFmtId="171" fontId="15" fillId="2" borderId="23" xfId="0" applyNumberFormat="1" applyFont="1" applyFill="1" applyBorder="1" applyAlignment="1">
      <alignment horizontal="center" vertical="center"/>
    </xf>
    <xf numFmtId="0" fontId="19" fillId="0" borderId="0" xfId="2" applyFont="1" applyAlignment="1">
      <alignment vertical="center"/>
    </xf>
    <xf numFmtId="0" fontId="17" fillId="3" borderId="1" xfId="0" applyFont="1" applyFill="1" applyBorder="1" applyAlignment="1">
      <alignment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9" fontId="18" fillId="3" borderId="1" xfId="1" applyFont="1" applyFill="1" applyBorder="1" applyAlignment="1">
      <alignment horizontal="center" vertical="center" wrapText="1"/>
    </xf>
    <xf numFmtId="0" fontId="13" fillId="0" borderId="6" xfId="2" applyFont="1" applyBorder="1" applyAlignment="1">
      <alignment horizontal="left" vertical="center" wrapText="1"/>
    </xf>
    <xf numFmtId="0" fontId="19" fillId="0" borderId="5" xfId="2" applyFont="1" applyBorder="1" applyAlignment="1">
      <alignment vertical="center"/>
    </xf>
    <xf numFmtId="0" fontId="22" fillId="0" borderId="5" xfId="2" applyFont="1" applyBorder="1" applyAlignment="1">
      <alignment horizontal="left" vertical="center" wrapText="1"/>
    </xf>
    <xf numFmtId="0" fontId="14" fillId="0" borderId="5" xfId="2" applyFont="1" applyBorder="1" applyAlignment="1">
      <alignment vertical="center" wrapText="1"/>
    </xf>
    <xf numFmtId="0" fontId="13" fillId="0" borderId="7" xfId="2" applyFont="1" applyBorder="1" applyAlignment="1">
      <alignment horizontal="left" vertical="center" wrapText="1"/>
    </xf>
    <xf numFmtId="169" fontId="18" fillId="4" borderId="8" xfId="0" applyNumberFormat="1" applyFont="1" applyFill="1" applyBorder="1" applyAlignment="1">
      <alignment horizontal="center" vertical="center"/>
    </xf>
    <xf numFmtId="9" fontId="18" fillId="4" borderId="24" xfId="1" applyFont="1" applyFill="1" applyBorder="1" applyAlignment="1">
      <alignment horizontal="center" vertical="center"/>
    </xf>
    <xf numFmtId="171" fontId="15" fillId="2" borderId="24" xfId="0" applyNumberFormat="1" applyFont="1" applyFill="1" applyBorder="1" applyAlignment="1">
      <alignment horizontal="center" vertical="center"/>
    </xf>
    <xf numFmtId="0" fontId="19" fillId="0" borderId="8" xfId="2" applyFont="1" applyBorder="1" applyAlignment="1">
      <alignment vertical="center"/>
    </xf>
    <xf numFmtId="0" fontId="23" fillId="2" borderId="0" xfId="2" applyFont="1" applyFill="1" applyAlignment="1">
      <alignment vertical="center"/>
    </xf>
    <xf numFmtId="0" fontId="19" fillId="2" borderId="0" xfId="2" applyFont="1" applyFill="1" applyAlignment="1">
      <alignment vertical="center"/>
    </xf>
    <xf numFmtId="0" fontId="23" fillId="2" borderId="0" xfId="2" applyFont="1" applyFill="1" applyAlignment="1">
      <alignment vertical="center" wrapText="1"/>
    </xf>
    <xf numFmtId="167" fontId="20" fillId="2" borderId="0" xfId="2" applyNumberFormat="1" applyFont="1" applyFill="1" applyAlignment="1">
      <alignment horizontal="center" vertical="center"/>
    </xf>
    <xf numFmtId="0" fontId="17" fillId="3" borderId="1" xfId="0" applyFont="1" applyFill="1" applyBorder="1" applyAlignment="1">
      <alignment vertical="center"/>
    </xf>
    <xf numFmtId="0" fontId="17" fillId="3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9" fontId="18" fillId="3" borderId="1" xfId="1" applyFont="1" applyFill="1" applyBorder="1" applyAlignment="1">
      <alignment horizontal="center" vertical="center"/>
    </xf>
    <xf numFmtId="171" fontId="15" fillId="3" borderId="12" xfId="0" applyNumberFormat="1" applyFont="1" applyFill="1" applyBorder="1" applyAlignment="1">
      <alignment vertical="center"/>
    </xf>
    <xf numFmtId="0" fontId="24" fillId="0" borderId="0" xfId="2" applyFont="1" applyAlignment="1">
      <alignment vertical="center"/>
    </xf>
    <xf numFmtId="171" fontId="17" fillId="3" borderId="22" xfId="0" applyNumberFormat="1" applyFont="1" applyFill="1" applyBorder="1" applyAlignment="1">
      <alignment horizontal="center" vertical="center" wrapText="1"/>
    </xf>
    <xf numFmtId="171" fontId="17" fillId="3" borderId="12" xfId="0" applyNumberFormat="1" applyFont="1" applyFill="1" applyBorder="1" applyAlignment="1">
      <alignment vertical="center" wrapText="1"/>
    </xf>
    <xf numFmtId="0" fontId="13" fillId="0" borderId="9" xfId="2" applyFont="1" applyBorder="1" applyAlignment="1">
      <alignment horizontal="left" vertical="center" wrapText="1"/>
    </xf>
    <xf numFmtId="0" fontId="19" fillId="0" borderId="10" xfId="2" applyFont="1" applyBorder="1" applyAlignment="1">
      <alignment vertical="center"/>
    </xf>
    <xf numFmtId="0" fontId="14" fillId="0" borderId="10" xfId="2" applyFont="1" applyBorder="1" applyAlignment="1">
      <alignment vertical="center" wrapText="1"/>
    </xf>
    <xf numFmtId="171" fontId="15" fillId="0" borderId="27" xfId="0" applyNumberFormat="1" applyFont="1" applyBorder="1" applyAlignment="1">
      <alignment horizontal="center" vertical="center"/>
    </xf>
    <xf numFmtId="0" fontId="21" fillId="0" borderId="5" xfId="2" applyFont="1" applyBorder="1" applyAlignment="1">
      <alignment horizontal="left" vertical="center" wrapText="1"/>
    </xf>
    <xf numFmtId="171" fontId="15" fillId="0" borderId="23" xfId="0" applyNumberFormat="1" applyFont="1" applyBorder="1" applyAlignment="1">
      <alignment horizontal="center" vertical="center"/>
    </xf>
    <xf numFmtId="169" fontId="18" fillId="4" borderId="10" xfId="0" applyNumberFormat="1" applyFont="1" applyFill="1" applyBorder="1" applyAlignment="1">
      <alignment horizontal="center" vertical="center"/>
    </xf>
    <xf numFmtId="9" fontId="18" fillId="4" borderId="27" xfId="1" applyFont="1" applyFill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20" fillId="0" borderId="29" xfId="1" applyNumberFormat="1" applyFont="1" applyFill="1" applyBorder="1" applyAlignment="1">
      <alignment horizontal="center" vertical="center"/>
    </xf>
    <xf numFmtId="0" fontId="20" fillId="0" borderId="30" xfId="1" applyNumberFormat="1" applyFont="1" applyFill="1" applyBorder="1" applyAlignment="1">
      <alignment horizontal="center" vertical="center"/>
    </xf>
    <xf numFmtId="0" fontId="20" fillId="0" borderId="31" xfId="1" applyNumberFormat="1" applyFont="1" applyFill="1" applyBorder="1" applyAlignment="1">
      <alignment horizontal="center" vertical="center"/>
    </xf>
    <xf numFmtId="0" fontId="20" fillId="0" borderId="32" xfId="1" applyNumberFormat="1" applyFont="1" applyFill="1" applyBorder="1" applyAlignment="1">
      <alignment horizontal="center" vertical="center"/>
    </xf>
    <xf numFmtId="0" fontId="25" fillId="3" borderId="11" xfId="0" applyFont="1" applyFill="1" applyBorder="1" applyAlignment="1">
      <alignment vertical="center"/>
    </xf>
    <xf numFmtId="0" fontId="13" fillId="2" borderId="6" xfId="2" applyFont="1" applyFill="1" applyBorder="1" applyAlignment="1">
      <alignment horizontal="left" vertical="center" wrapText="1"/>
    </xf>
    <xf numFmtId="0" fontId="20" fillId="0" borderId="33" xfId="1" applyNumberFormat="1" applyFont="1" applyFill="1" applyBorder="1" applyAlignment="1">
      <alignment horizontal="center" vertical="center"/>
    </xf>
    <xf numFmtId="0" fontId="14" fillId="0" borderId="8" xfId="2" applyFont="1" applyBorder="1" applyAlignment="1">
      <alignment vertical="center" wrapText="1"/>
    </xf>
    <xf numFmtId="0" fontId="17" fillId="3" borderId="34" xfId="0" applyFont="1" applyFill="1" applyBorder="1" applyAlignment="1">
      <alignment horizontal="center" vertical="center" wrapText="1"/>
    </xf>
    <xf numFmtId="0" fontId="13" fillId="0" borderId="35" xfId="1" applyNumberFormat="1" applyFont="1" applyFill="1" applyBorder="1" applyAlignment="1">
      <alignment horizontal="center" vertical="center"/>
    </xf>
    <xf numFmtId="0" fontId="13" fillId="0" borderId="36" xfId="1" applyNumberFormat="1" applyFont="1" applyFill="1" applyBorder="1" applyAlignment="1">
      <alignment horizontal="center" vertical="center"/>
    </xf>
    <xf numFmtId="169" fontId="17" fillId="3" borderId="4" xfId="0" applyNumberFormat="1" applyFont="1" applyFill="1" applyBorder="1" applyAlignment="1">
      <alignment horizontal="center" vertical="center" wrapText="1"/>
    </xf>
    <xf numFmtId="169" fontId="13" fillId="0" borderId="26" xfId="0" applyNumberFormat="1" applyFont="1" applyBorder="1" applyAlignment="1">
      <alignment horizontal="center" vertical="center"/>
    </xf>
    <xf numFmtId="169" fontId="13" fillId="0" borderId="21" xfId="0" applyNumberFormat="1" applyFont="1" applyBorder="1" applyAlignment="1">
      <alignment horizontal="center" vertical="center"/>
    </xf>
    <xf numFmtId="169" fontId="13" fillId="2" borderId="26" xfId="0" applyNumberFormat="1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>
      <alignment horizontal="center" vertical="center"/>
    </xf>
    <xf numFmtId="169" fontId="13" fillId="2" borderId="28" xfId="0" applyNumberFormat="1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 wrapText="1"/>
    </xf>
    <xf numFmtId="0" fontId="17" fillId="3" borderId="17" xfId="0" applyFont="1" applyFill="1" applyBorder="1" applyAlignment="1">
      <alignment horizontal="center" vertical="center"/>
    </xf>
    <xf numFmtId="0" fontId="17" fillId="3" borderId="11" xfId="0" applyFont="1" applyFill="1" applyBorder="1" applyAlignment="1">
      <alignment horizontal="center" vertical="center" wrapText="1"/>
    </xf>
    <xf numFmtId="0" fontId="17" fillId="3" borderId="12" xfId="0" applyFont="1" applyFill="1" applyBorder="1" applyAlignment="1">
      <alignment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7" fillId="3" borderId="12" xfId="0" applyFont="1" applyFill="1" applyBorder="1" applyAlignment="1">
      <alignment vertical="center"/>
    </xf>
    <xf numFmtId="171" fontId="18" fillId="0" borderId="23" xfId="0" applyNumberFormat="1" applyFont="1" applyBorder="1" applyAlignment="1">
      <alignment horizontal="center" vertical="center"/>
    </xf>
    <xf numFmtId="0" fontId="14" fillId="2" borderId="0" xfId="2" applyFont="1" applyFill="1" applyAlignment="1">
      <alignment horizontal="center" vertical="center"/>
    </xf>
    <xf numFmtId="0" fontId="19" fillId="0" borderId="0" xfId="2" applyFont="1" applyAlignment="1">
      <alignment horizontal="center" vertical="center"/>
    </xf>
    <xf numFmtId="169" fontId="19" fillId="0" borderId="0" xfId="2" applyNumberFormat="1" applyFont="1" applyAlignment="1">
      <alignment horizontal="center" vertical="center"/>
    </xf>
    <xf numFmtId="0" fontId="19" fillId="2" borderId="0" xfId="2" applyFont="1" applyFill="1" applyAlignment="1">
      <alignment horizontal="center" vertical="center"/>
    </xf>
    <xf numFmtId="0" fontId="20" fillId="2" borderId="35" xfId="1" applyNumberFormat="1" applyFont="1" applyFill="1" applyBorder="1" applyAlignment="1">
      <alignment horizontal="center" vertical="center"/>
    </xf>
    <xf numFmtId="0" fontId="20" fillId="2" borderId="29" xfId="1" applyNumberFormat="1" applyFont="1" applyFill="1" applyBorder="1" applyAlignment="1">
      <alignment horizontal="center" vertical="center"/>
    </xf>
    <xf numFmtId="0" fontId="22" fillId="5" borderId="5" xfId="2" applyFont="1" applyFill="1" applyBorder="1" applyAlignment="1">
      <alignment horizontal="left" vertical="center" wrapText="1"/>
    </xf>
    <xf numFmtId="0" fontId="15" fillId="0" borderId="5" xfId="2" applyFont="1" applyBorder="1" applyAlignment="1">
      <alignment horizontal="left" vertical="center" wrapText="1"/>
    </xf>
    <xf numFmtId="0" fontId="15" fillId="0" borderId="8" xfId="2" applyFont="1" applyBorder="1" applyAlignment="1">
      <alignment horizontal="left" vertical="center" wrapText="1"/>
    </xf>
  </cellXfs>
  <cellStyles count="11">
    <cellStyle name="Comma" xfId="6" builtinId="3"/>
    <cellStyle name="Currency 2" xfId="5" xr:uid="{00000000-0005-0000-0000-000001000000}"/>
    <cellStyle name="Currency 3" xfId="10" xr:uid="{00000000-0005-0000-0000-000002000000}"/>
    <cellStyle name="Normal" xfId="0" builtinId="0"/>
    <cellStyle name="Normal 5" xfId="2" xr:uid="{00000000-0005-0000-0000-000004000000}"/>
    <cellStyle name="Percent" xfId="1" builtinId="5"/>
    <cellStyle name="Percent 3" xfId="4" xr:uid="{00000000-0005-0000-0000-000006000000}"/>
    <cellStyle name="Percent 4" xfId="7" xr:uid="{00000000-0005-0000-0000-000007000000}"/>
    <cellStyle name="Обычный 2" xfId="3" xr:uid="{00000000-0005-0000-0000-000008000000}"/>
    <cellStyle name="Обычный_Лист1" xfId="8" xr:uid="{00000000-0005-0000-0000-000009000000}"/>
    <cellStyle name="样式 1" xfId="9" xr:uid="{00000000-0005-0000-0000-00000A000000}"/>
  </cellStyles>
  <dxfs count="79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/>
        </patternFill>
      </fill>
    </dxf>
    <dxf>
      <fill>
        <patternFill>
          <bgColor theme="0" tint="-0.14996795556505021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99"/>
      <color rgb="FFA0D1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pn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jpeg"/><Relationship Id="rId2" Type="http://schemas.openxmlformats.org/officeDocument/2006/relationships/image" Target="../media/image17.jpeg"/><Relationship Id="rId1" Type="http://schemas.openxmlformats.org/officeDocument/2006/relationships/image" Target="../media/image1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250384</xdr:colOff>
      <xdr:row>7</xdr:row>
      <xdr:rowOff>35137</xdr:rowOff>
    </xdr:from>
    <xdr:to>
      <xdr:col>1</xdr:col>
      <xdr:colOff>654771</xdr:colOff>
      <xdr:row>7</xdr:row>
      <xdr:rowOff>784226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65301" y="11560387"/>
          <a:ext cx="404387" cy="749089"/>
        </a:xfrm>
        <a:prstGeom prst="rect">
          <a:avLst/>
        </a:prstGeom>
      </xdr:spPr>
    </xdr:pic>
    <xdr:clientData/>
  </xdr:twoCellAnchor>
  <xdr:twoCellAnchor>
    <xdr:from>
      <xdr:col>1</xdr:col>
      <xdr:colOff>229714</xdr:colOff>
      <xdr:row>13</xdr:row>
      <xdr:rowOff>0</xdr:rowOff>
    </xdr:from>
    <xdr:to>
      <xdr:col>1</xdr:col>
      <xdr:colOff>714972</xdr:colOff>
      <xdr:row>13</xdr:row>
      <xdr:rowOff>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91914" y="9935595"/>
          <a:ext cx="361433" cy="163203"/>
        </a:xfrm>
        <a:prstGeom prst="rect">
          <a:avLst/>
        </a:prstGeom>
      </xdr:spPr>
    </xdr:pic>
    <xdr:clientData/>
  </xdr:twoCellAnchor>
  <xdr:twoCellAnchor>
    <xdr:from>
      <xdr:col>1</xdr:col>
      <xdr:colOff>939802</xdr:colOff>
      <xdr:row>0</xdr:row>
      <xdr:rowOff>114302</xdr:rowOff>
    </xdr:from>
    <xdr:to>
      <xdr:col>3</xdr:col>
      <xdr:colOff>0</xdr:colOff>
      <xdr:row>1</xdr:row>
      <xdr:rowOff>243418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54719" y="114302"/>
          <a:ext cx="1409698" cy="319616"/>
        </a:xfrm>
        <a:prstGeom prst="rect">
          <a:avLst/>
        </a:prstGeom>
      </xdr:spPr>
    </xdr:pic>
    <xdr:clientData/>
  </xdr:twoCellAnchor>
  <xdr:twoCellAnchor>
    <xdr:from>
      <xdr:col>1</xdr:col>
      <xdr:colOff>285749</xdr:colOff>
      <xdr:row>10</xdr:row>
      <xdr:rowOff>39353</xdr:rowOff>
    </xdr:from>
    <xdr:to>
      <xdr:col>1</xdr:col>
      <xdr:colOff>677332</xdr:colOff>
      <xdr:row>10</xdr:row>
      <xdr:rowOff>793750</xdr:rowOff>
    </xdr:to>
    <xdr:pic>
      <xdr:nvPicPr>
        <xdr:cNvPr id="38" name="Picture 37" descr="Холодильник: Indesit ITS 4160 S купить в кредит в MAXI.AZ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100666" y="14094020"/>
          <a:ext cx="391583" cy="7543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275168</xdr:colOff>
      <xdr:row>16</xdr:row>
      <xdr:rowOff>31750</xdr:rowOff>
    </xdr:from>
    <xdr:to>
      <xdr:col>1</xdr:col>
      <xdr:colOff>677333</xdr:colOff>
      <xdr:row>16</xdr:row>
      <xdr:rowOff>804333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0085" y="10403417"/>
          <a:ext cx="402165" cy="772583"/>
        </a:xfrm>
        <a:prstGeom prst="rect">
          <a:avLst/>
        </a:prstGeom>
      </xdr:spPr>
    </xdr:pic>
    <xdr:clientData/>
  </xdr:twoCellAnchor>
  <xdr:twoCellAnchor>
    <xdr:from>
      <xdr:col>1</xdr:col>
      <xdr:colOff>224367</xdr:colOff>
      <xdr:row>13</xdr:row>
      <xdr:rowOff>2116</xdr:rowOff>
    </xdr:from>
    <xdr:to>
      <xdr:col>1</xdr:col>
      <xdr:colOff>626534</xdr:colOff>
      <xdr:row>13</xdr:row>
      <xdr:rowOff>795866</xdr:rowOff>
    </xdr:to>
    <xdr:pic>
      <xdr:nvPicPr>
        <xdr:cNvPr id="42" name="Picture 41" descr="image description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062567" y="7054849"/>
          <a:ext cx="402167" cy="793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267391</xdr:colOff>
      <xdr:row>10</xdr:row>
      <xdr:rowOff>25400</xdr:rowOff>
    </xdr:from>
    <xdr:to>
      <xdr:col>1</xdr:col>
      <xdr:colOff>702194</xdr:colOff>
      <xdr:row>10</xdr:row>
      <xdr:rowOff>810696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82308" y="4830233"/>
          <a:ext cx="434803" cy="785296"/>
        </a:xfrm>
        <a:prstGeom prst="rect">
          <a:avLst/>
        </a:prstGeom>
      </xdr:spPr>
    </xdr:pic>
    <xdr:clientData/>
  </xdr:twoCellAnchor>
  <xdr:twoCellAnchor>
    <xdr:from>
      <xdr:col>1</xdr:col>
      <xdr:colOff>260992</xdr:colOff>
      <xdr:row>11</xdr:row>
      <xdr:rowOff>31751</xdr:rowOff>
    </xdr:from>
    <xdr:to>
      <xdr:col>1</xdr:col>
      <xdr:colOff>698763</xdr:colOff>
      <xdr:row>12</xdr:row>
      <xdr:rowOff>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75909" y="9535584"/>
          <a:ext cx="437771" cy="793749"/>
        </a:xfrm>
        <a:prstGeom prst="rect">
          <a:avLst/>
        </a:prstGeom>
      </xdr:spPr>
    </xdr:pic>
    <xdr:clientData/>
  </xdr:twoCellAnchor>
  <xdr:twoCellAnchor>
    <xdr:from>
      <xdr:col>1</xdr:col>
      <xdr:colOff>275167</xdr:colOff>
      <xdr:row>5</xdr:row>
      <xdr:rowOff>31751</xdr:rowOff>
    </xdr:from>
    <xdr:to>
      <xdr:col>1</xdr:col>
      <xdr:colOff>687917</xdr:colOff>
      <xdr:row>5</xdr:row>
      <xdr:rowOff>782637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90084" y="2106084"/>
          <a:ext cx="412750" cy="750886"/>
        </a:xfrm>
        <a:prstGeom prst="rect">
          <a:avLst/>
        </a:prstGeom>
      </xdr:spPr>
    </xdr:pic>
    <xdr:clientData/>
  </xdr:twoCellAnchor>
  <xdr:twoCellAnchor>
    <xdr:from>
      <xdr:col>1</xdr:col>
      <xdr:colOff>215108</xdr:colOff>
      <xdr:row>17</xdr:row>
      <xdr:rowOff>31751</xdr:rowOff>
    </xdr:from>
    <xdr:to>
      <xdr:col>1</xdr:col>
      <xdr:colOff>640666</xdr:colOff>
      <xdr:row>17</xdr:row>
      <xdr:rowOff>957850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30025" y="13652501"/>
          <a:ext cx="425558" cy="773699"/>
        </a:xfrm>
        <a:prstGeom prst="rect">
          <a:avLst/>
        </a:prstGeom>
      </xdr:spPr>
    </xdr:pic>
    <xdr:clientData/>
  </xdr:twoCellAnchor>
  <xdr:twoCellAnchor>
    <xdr:from>
      <xdr:col>1</xdr:col>
      <xdr:colOff>251885</xdr:colOff>
      <xdr:row>6</xdr:row>
      <xdr:rowOff>38100</xdr:rowOff>
    </xdr:from>
    <xdr:to>
      <xdr:col>1</xdr:col>
      <xdr:colOff>667007</xdr:colOff>
      <xdr:row>6</xdr:row>
      <xdr:rowOff>785675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66802" y="3699933"/>
          <a:ext cx="415122" cy="747575"/>
        </a:xfrm>
        <a:prstGeom prst="rect">
          <a:avLst/>
        </a:prstGeom>
      </xdr:spPr>
    </xdr:pic>
    <xdr:clientData/>
  </xdr:twoCellAnchor>
  <xdr:twoCellAnchor>
    <xdr:from>
      <xdr:col>1</xdr:col>
      <xdr:colOff>253507</xdr:colOff>
      <xdr:row>3</xdr:row>
      <xdr:rowOff>21166</xdr:rowOff>
    </xdr:from>
    <xdr:to>
      <xdr:col>1</xdr:col>
      <xdr:colOff>637762</xdr:colOff>
      <xdr:row>3</xdr:row>
      <xdr:rowOff>772583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68424" y="1068916"/>
          <a:ext cx="384255" cy="751417"/>
        </a:xfrm>
        <a:prstGeom prst="rect">
          <a:avLst/>
        </a:prstGeom>
      </xdr:spPr>
    </xdr:pic>
    <xdr:clientData/>
  </xdr:twoCellAnchor>
  <xdr:twoCellAnchor>
    <xdr:from>
      <xdr:col>1</xdr:col>
      <xdr:colOff>243417</xdr:colOff>
      <xdr:row>18</xdr:row>
      <xdr:rowOff>31750</xdr:rowOff>
    </xdr:from>
    <xdr:to>
      <xdr:col>1</xdr:col>
      <xdr:colOff>668975</xdr:colOff>
      <xdr:row>18</xdr:row>
      <xdr:rowOff>804333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58334" y="8911167"/>
          <a:ext cx="425558" cy="772583"/>
        </a:xfrm>
        <a:prstGeom prst="rect">
          <a:avLst/>
        </a:prstGeom>
      </xdr:spPr>
    </xdr:pic>
    <xdr:clientData/>
  </xdr:twoCellAnchor>
  <xdr:twoCellAnchor>
    <xdr:from>
      <xdr:col>1</xdr:col>
      <xdr:colOff>276225</xdr:colOff>
      <xdr:row>15</xdr:row>
      <xdr:rowOff>28575</xdr:rowOff>
    </xdr:from>
    <xdr:to>
      <xdr:col>1</xdr:col>
      <xdr:colOff>688976</xdr:colOff>
      <xdr:row>15</xdr:row>
      <xdr:rowOff>769408</xdr:rowOff>
    </xdr:to>
    <xdr:pic>
      <xdr:nvPicPr>
        <xdr:cNvPr id="16" name="Picture 15" descr="Холодильник Indesit ITS 5180 NG с нижней морозильной камерой: обзор, фото -  официальный сайт Indesit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747" t="9945" r="43245" b="11326"/>
        <a:stretch/>
      </xdr:blipFill>
      <xdr:spPr bwMode="auto">
        <a:xfrm>
          <a:off x="1085850" y="7943850"/>
          <a:ext cx="412751" cy="7408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228600</xdr:colOff>
      <xdr:row>8</xdr:row>
      <xdr:rowOff>33338</xdr:rowOff>
    </xdr:from>
    <xdr:to>
      <xdr:col>1</xdr:col>
      <xdr:colOff>653670</xdr:colOff>
      <xdr:row>8</xdr:row>
      <xdr:rowOff>760883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38225" y="3664744"/>
          <a:ext cx="425070" cy="727545"/>
        </a:xfrm>
        <a:prstGeom prst="rect">
          <a:avLst/>
        </a:prstGeom>
      </xdr:spPr>
    </xdr:pic>
    <xdr:clientData/>
  </xdr:twoCellAnchor>
  <xdr:twoCellAnchor>
    <xdr:from>
      <xdr:col>1</xdr:col>
      <xdr:colOff>296332</xdr:colOff>
      <xdr:row>12</xdr:row>
      <xdr:rowOff>31751</xdr:rowOff>
    </xdr:from>
    <xdr:to>
      <xdr:col>1</xdr:col>
      <xdr:colOff>677333</xdr:colOff>
      <xdr:row>12</xdr:row>
      <xdr:rowOff>804333</xdr:rowOff>
    </xdr:to>
    <xdr:pic>
      <xdr:nvPicPr>
        <xdr:cNvPr id="17" name="Picture 16" descr="https://www.bakuelectronics.az/assets/images/products/161740/indesit-its-4180-ng-1.jp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111249" y="6466418"/>
          <a:ext cx="381001" cy="7725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275166</xdr:colOff>
      <xdr:row>14</xdr:row>
      <xdr:rowOff>42333</xdr:rowOff>
    </xdr:from>
    <xdr:to>
      <xdr:col>1</xdr:col>
      <xdr:colOff>677333</xdr:colOff>
      <xdr:row>14</xdr:row>
      <xdr:rowOff>804332</xdr:rowOff>
    </xdr:to>
    <xdr:pic>
      <xdr:nvPicPr>
        <xdr:cNvPr id="19" name="Picture 18" descr="image description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1090083" y="8784166"/>
          <a:ext cx="402167" cy="7619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241401</xdr:colOff>
      <xdr:row>2</xdr:row>
      <xdr:rowOff>36687</xdr:rowOff>
    </xdr:from>
    <xdr:to>
      <xdr:col>1</xdr:col>
      <xdr:colOff>673176</xdr:colOff>
      <xdr:row>2</xdr:row>
      <xdr:rowOff>783167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51026" y="2665587"/>
          <a:ext cx="431775" cy="746480"/>
        </a:xfrm>
        <a:prstGeom prst="rect">
          <a:avLst/>
        </a:prstGeom>
      </xdr:spPr>
    </xdr:pic>
    <xdr:clientData/>
  </xdr:twoCellAnchor>
  <xdr:twoCellAnchor>
    <xdr:from>
      <xdr:col>1</xdr:col>
      <xdr:colOff>251876</xdr:colOff>
      <xdr:row>3</xdr:row>
      <xdr:rowOff>27880</xdr:rowOff>
    </xdr:from>
    <xdr:to>
      <xdr:col>1</xdr:col>
      <xdr:colOff>668533</xdr:colOff>
      <xdr:row>3</xdr:row>
      <xdr:rowOff>778345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61501" y="9048055"/>
          <a:ext cx="416657" cy="750465"/>
        </a:xfrm>
        <a:prstGeom prst="rect">
          <a:avLst/>
        </a:prstGeom>
      </xdr:spPr>
    </xdr:pic>
    <xdr:clientData/>
  </xdr:twoCellAnchor>
  <xdr:twoCellAnchor>
    <xdr:from>
      <xdr:col>1</xdr:col>
      <xdr:colOff>250671</xdr:colOff>
      <xdr:row>4</xdr:row>
      <xdr:rowOff>40823</xdr:rowOff>
    </xdr:from>
    <xdr:to>
      <xdr:col>1</xdr:col>
      <xdr:colOff>694865</xdr:colOff>
      <xdr:row>4</xdr:row>
      <xdr:rowOff>1104584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60296" y="6689273"/>
          <a:ext cx="444194" cy="7494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theme="8" tint="-0.249977111117893"/>
  </sheetPr>
  <dimension ref="A1:O19"/>
  <sheetViews>
    <sheetView showGridLines="0" tabSelected="1" zoomScale="33" zoomScaleNormal="90" workbookViewId="0">
      <pane xSplit="1" ySplit="3" topLeftCell="B11" activePane="bottomRight" state="frozen"/>
      <selection pane="topRight" activeCell="C1" sqref="C1"/>
      <selection pane="bottomLeft" activeCell="A3" sqref="A3"/>
      <selection pane="bottomRight" activeCell="E37" sqref="E37"/>
    </sheetView>
  </sheetViews>
  <sheetFormatPr defaultColWidth="8.77734375" defaultRowHeight="13.8" outlineLevelCol="1" x14ac:dyDescent="0.3"/>
  <cols>
    <col min="1" max="1" width="12.21875" style="73" customWidth="1"/>
    <col min="2" max="2" width="14.44140625" style="74" customWidth="1"/>
    <col min="3" max="3" width="18.77734375" style="75" bestFit="1" customWidth="1"/>
    <col min="4" max="4" width="33.21875" style="75" bestFit="1" customWidth="1"/>
    <col min="5" max="5" width="37.44140625" style="42" customWidth="1"/>
    <col min="6" max="6" width="9.21875" style="43" customWidth="1"/>
    <col min="7" max="8" width="8.77734375" style="76" hidden="1" customWidth="1" outlineLevel="1"/>
    <col min="9" max="9" width="8.77734375" style="76" customWidth="1" collapsed="1"/>
    <col min="10" max="11" width="12.77734375" style="48" customWidth="1"/>
    <col min="12" max="12" width="9.21875" style="49" customWidth="1"/>
    <col min="13" max="13" width="17.77734375" style="47" customWidth="1"/>
    <col min="14" max="15" width="8.77734375" style="123"/>
    <col min="16" max="16384" width="8.77734375" style="74"/>
  </cols>
  <sheetData>
    <row r="1" spans="1:15" s="42" customFormat="1" x14ac:dyDescent="0.3">
      <c r="A1" s="39"/>
      <c r="B1" s="40">
        <f ca="1">TODAY()</f>
        <v>46174</v>
      </c>
      <c r="C1" s="41"/>
      <c r="D1" s="41"/>
      <c r="F1" s="43"/>
      <c r="G1" s="44"/>
      <c r="H1" s="44"/>
      <c r="I1" s="44"/>
      <c r="J1" s="45"/>
      <c r="K1" s="45"/>
      <c r="L1" s="46"/>
      <c r="M1" s="47"/>
      <c r="N1" s="120"/>
      <c r="O1" s="120"/>
    </row>
    <row r="2" spans="1:15" s="42" customFormat="1" ht="24.75" customHeight="1" thickBot="1" x14ac:dyDescent="0.35">
      <c r="A2" s="39"/>
      <c r="C2" s="41"/>
      <c r="D2" s="41"/>
      <c r="F2" s="43"/>
      <c r="G2" s="44"/>
      <c r="H2" s="44"/>
      <c r="I2" s="44"/>
      <c r="J2" s="48"/>
      <c r="K2" s="48"/>
      <c r="L2" s="49"/>
      <c r="M2" s="47"/>
      <c r="N2" s="120"/>
      <c r="O2" s="120"/>
    </row>
    <row r="3" spans="1:15" s="42" customFormat="1" ht="42" customHeight="1" thickBot="1" x14ac:dyDescent="0.35">
      <c r="A3" s="50" t="s">
        <v>3</v>
      </c>
      <c r="B3" s="51" t="s">
        <v>8</v>
      </c>
      <c r="C3" s="51" t="s">
        <v>4</v>
      </c>
      <c r="D3" s="52" t="s">
        <v>9</v>
      </c>
      <c r="E3" s="52" t="s">
        <v>21</v>
      </c>
      <c r="F3" s="104" t="s">
        <v>10</v>
      </c>
      <c r="G3" s="113" t="s">
        <v>26</v>
      </c>
      <c r="H3" s="52" t="s">
        <v>28</v>
      </c>
      <c r="I3" s="114" t="s">
        <v>29</v>
      </c>
      <c r="J3" s="107" t="s">
        <v>11</v>
      </c>
      <c r="K3" s="53" t="s">
        <v>27</v>
      </c>
      <c r="L3" s="54" t="s">
        <v>25</v>
      </c>
      <c r="M3" s="83" t="s">
        <v>14</v>
      </c>
      <c r="N3" s="120"/>
      <c r="O3" s="120"/>
    </row>
    <row r="4" spans="1:15" s="59" customFormat="1" ht="62.25" hidden="1" customHeight="1" thickTop="1" thickBot="1" x14ac:dyDescent="0.35">
      <c r="A4" s="85" t="s">
        <v>16</v>
      </c>
      <c r="B4" s="86"/>
      <c r="C4" s="55" t="s">
        <v>54</v>
      </c>
      <c r="D4" s="55" t="s">
        <v>57</v>
      </c>
      <c r="E4" s="87" t="s">
        <v>58</v>
      </c>
      <c r="F4" s="93" t="s">
        <v>15</v>
      </c>
      <c r="G4" s="124" t="s">
        <v>70</v>
      </c>
      <c r="H4" s="125" t="s">
        <v>70</v>
      </c>
      <c r="I4" s="99">
        <f>SUM(G4:H4)</f>
        <v>0</v>
      </c>
      <c r="J4" s="108">
        <v>460</v>
      </c>
      <c r="K4" s="91">
        <v>440</v>
      </c>
      <c r="L4" s="92">
        <f>J4/K4-1</f>
        <v>4.5454545454545414E-2</v>
      </c>
      <c r="M4" s="88"/>
      <c r="N4" s="121"/>
      <c r="O4" s="122"/>
    </row>
    <row r="5" spans="1:15" s="59" customFormat="1" ht="18" customHeight="1" thickTop="1" thickBot="1" x14ac:dyDescent="0.35">
      <c r="A5" s="100" t="s">
        <v>22</v>
      </c>
      <c r="B5" s="60"/>
      <c r="C5" s="60"/>
      <c r="D5" s="60"/>
      <c r="E5" s="60"/>
      <c r="F5" s="61"/>
      <c r="G5" s="115" t="s">
        <v>70</v>
      </c>
      <c r="H5" s="61" t="s">
        <v>70</v>
      </c>
      <c r="I5" s="116"/>
      <c r="J5" s="61"/>
      <c r="K5" s="62"/>
      <c r="L5" s="63"/>
      <c r="M5" s="84"/>
      <c r="N5" s="121"/>
      <c r="O5" s="122"/>
    </row>
    <row r="6" spans="1:15" s="59" customFormat="1" ht="62.25" customHeight="1" x14ac:dyDescent="0.3">
      <c r="A6" s="64" t="s">
        <v>17</v>
      </c>
      <c r="B6" s="89"/>
      <c r="C6" s="66" t="s">
        <v>39</v>
      </c>
      <c r="D6" s="126" t="s">
        <v>40</v>
      </c>
      <c r="E6" s="67" t="s">
        <v>59</v>
      </c>
      <c r="F6" s="94" t="s">
        <v>15</v>
      </c>
      <c r="G6" s="105">
        <v>77</v>
      </c>
      <c r="H6" s="96"/>
      <c r="I6" s="97">
        <f t="shared" ref="I6:I19" si="0">SUM(G6:H6)</f>
        <v>77</v>
      </c>
      <c r="J6" s="109">
        <v>328</v>
      </c>
      <c r="K6" s="56">
        <v>300</v>
      </c>
      <c r="L6" s="57">
        <f>J6/K6-1</f>
        <v>9.3333333333333268E-2</v>
      </c>
      <c r="M6" s="90"/>
      <c r="N6" s="121"/>
      <c r="O6" s="122"/>
    </row>
    <row r="7" spans="1:15" s="59" customFormat="1" ht="62.25" customHeight="1" x14ac:dyDescent="0.3">
      <c r="A7" s="64" t="s">
        <v>30</v>
      </c>
      <c r="B7" s="89"/>
      <c r="C7" s="66" t="s">
        <v>35</v>
      </c>
      <c r="D7" s="126" t="s">
        <v>36</v>
      </c>
      <c r="E7" s="67" t="s">
        <v>60</v>
      </c>
      <c r="F7" s="94" t="s">
        <v>15</v>
      </c>
      <c r="G7" s="105">
        <v>109</v>
      </c>
      <c r="H7" s="96"/>
      <c r="I7" s="97">
        <f t="shared" si="0"/>
        <v>109</v>
      </c>
      <c r="J7" s="109">
        <v>354</v>
      </c>
      <c r="K7" s="56">
        <v>317</v>
      </c>
      <c r="L7" s="57">
        <f>J7/K7-1</f>
        <v>0.11671924290220814</v>
      </c>
      <c r="M7" s="90"/>
      <c r="N7" s="121"/>
      <c r="O7" s="122"/>
    </row>
    <row r="8" spans="1:15" s="59" customFormat="1" ht="62.25" customHeight="1" x14ac:dyDescent="0.3">
      <c r="A8" s="64" t="s">
        <v>17</v>
      </c>
      <c r="B8" s="89"/>
      <c r="C8" s="66" t="s">
        <v>41</v>
      </c>
      <c r="D8" s="126" t="s">
        <v>42</v>
      </c>
      <c r="E8" s="67" t="s">
        <v>61</v>
      </c>
      <c r="F8" s="94" t="s">
        <v>15</v>
      </c>
      <c r="G8" s="105">
        <v>159</v>
      </c>
      <c r="H8" s="96"/>
      <c r="I8" s="97">
        <f t="shared" si="0"/>
        <v>159</v>
      </c>
      <c r="J8" s="109">
        <v>382</v>
      </c>
      <c r="K8" s="56">
        <v>339</v>
      </c>
      <c r="L8" s="57">
        <f>J8/K8-1</f>
        <v>0.12684365781710905</v>
      </c>
      <c r="M8" s="90"/>
      <c r="N8" s="121"/>
      <c r="O8" s="122"/>
    </row>
    <row r="9" spans="1:15" s="59" customFormat="1" ht="62.25" customHeight="1" thickBot="1" x14ac:dyDescent="0.35">
      <c r="A9" s="64" t="s">
        <v>17</v>
      </c>
      <c r="B9" s="89"/>
      <c r="C9" s="66" t="s">
        <v>52</v>
      </c>
      <c r="D9" s="126" t="s">
        <v>53</v>
      </c>
      <c r="E9" s="67" t="s">
        <v>62</v>
      </c>
      <c r="F9" s="94" t="s">
        <v>15</v>
      </c>
      <c r="G9" s="105">
        <v>54</v>
      </c>
      <c r="H9" s="96"/>
      <c r="I9" s="97">
        <f t="shared" si="0"/>
        <v>54</v>
      </c>
      <c r="J9" s="109">
        <v>400</v>
      </c>
      <c r="K9" s="56">
        <v>357</v>
      </c>
      <c r="L9" s="57">
        <f>J9/K9-1</f>
        <v>0.1204481792717087</v>
      </c>
      <c r="M9" s="119"/>
      <c r="N9" s="121"/>
      <c r="O9" s="122"/>
    </row>
    <row r="10" spans="1:15" s="82" customFormat="1" ht="18.75" customHeight="1" thickBot="1" x14ac:dyDescent="0.35">
      <c r="A10" s="100" t="s">
        <v>23</v>
      </c>
      <c r="B10" s="77"/>
      <c r="C10" s="77"/>
      <c r="D10" s="60"/>
      <c r="E10" s="60"/>
      <c r="F10" s="78"/>
      <c r="G10" s="117" t="s">
        <v>70</v>
      </c>
      <c r="H10" s="61" t="s">
        <v>70</v>
      </c>
      <c r="I10" s="118"/>
      <c r="J10" s="78"/>
      <c r="K10" s="79"/>
      <c r="L10" s="80"/>
      <c r="M10" s="81"/>
      <c r="N10" s="121"/>
      <c r="O10" s="122"/>
    </row>
    <row r="11" spans="1:15" s="59" customFormat="1" ht="63.75" customHeight="1" x14ac:dyDescent="0.3">
      <c r="A11" s="64" t="s">
        <v>17</v>
      </c>
      <c r="B11" s="65"/>
      <c r="C11" s="126" t="s">
        <v>43</v>
      </c>
      <c r="D11" s="126" t="s">
        <v>71</v>
      </c>
      <c r="E11" s="67" t="s">
        <v>63</v>
      </c>
      <c r="F11" s="94" t="s">
        <v>15</v>
      </c>
      <c r="G11" s="105">
        <v>110</v>
      </c>
      <c r="H11" s="96"/>
      <c r="I11" s="99">
        <f t="shared" si="0"/>
        <v>110</v>
      </c>
      <c r="J11" s="110">
        <v>383</v>
      </c>
      <c r="K11" s="91">
        <v>339</v>
      </c>
      <c r="L11" s="92">
        <f t="shared" ref="L11:L19" si="1">J11/K11-1</f>
        <v>0.12979351032448383</v>
      </c>
      <c r="M11" s="58"/>
      <c r="N11" s="121"/>
      <c r="O11" s="122"/>
    </row>
    <row r="12" spans="1:15" s="59" customFormat="1" ht="63.75" customHeight="1" x14ac:dyDescent="0.3">
      <c r="A12" s="64" t="s">
        <v>17</v>
      </c>
      <c r="B12" s="65"/>
      <c r="C12" s="126" t="s">
        <v>34</v>
      </c>
      <c r="D12" s="126" t="s">
        <v>33</v>
      </c>
      <c r="E12" s="67" t="s">
        <v>64</v>
      </c>
      <c r="F12" s="94" t="s">
        <v>15</v>
      </c>
      <c r="G12" s="105">
        <v>36</v>
      </c>
      <c r="H12" s="96"/>
      <c r="I12" s="97">
        <f t="shared" si="0"/>
        <v>36</v>
      </c>
      <c r="J12" s="111">
        <v>410</v>
      </c>
      <c r="K12" s="56">
        <v>367</v>
      </c>
      <c r="L12" s="57">
        <f t="shared" si="1"/>
        <v>0.11716621253406001</v>
      </c>
      <c r="M12" s="58"/>
      <c r="N12" s="121"/>
      <c r="O12" s="122"/>
    </row>
    <row r="13" spans="1:15" s="59" customFormat="1" ht="63.75" customHeight="1" x14ac:dyDescent="0.3">
      <c r="A13" s="101" t="s">
        <v>17</v>
      </c>
      <c r="B13" s="65"/>
      <c r="C13" s="126" t="s">
        <v>48</v>
      </c>
      <c r="D13" s="126" t="s">
        <v>51</v>
      </c>
      <c r="E13" s="67" t="s">
        <v>66</v>
      </c>
      <c r="F13" s="94" t="s">
        <v>15</v>
      </c>
      <c r="G13" s="105">
        <v>13</v>
      </c>
      <c r="H13" s="96"/>
      <c r="I13" s="97">
        <f t="shared" si="0"/>
        <v>13</v>
      </c>
      <c r="J13" s="111">
        <v>410</v>
      </c>
      <c r="K13" s="56">
        <v>382</v>
      </c>
      <c r="L13" s="57">
        <f t="shared" si="1"/>
        <v>7.3298429319371694E-2</v>
      </c>
      <c r="M13" s="58"/>
      <c r="N13" s="121"/>
      <c r="O13" s="122"/>
    </row>
    <row r="14" spans="1:15" s="59" customFormat="1" ht="63.75" customHeight="1" x14ac:dyDescent="0.3">
      <c r="A14" s="101" t="s">
        <v>17</v>
      </c>
      <c r="B14" s="65"/>
      <c r="C14" s="127" t="s">
        <v>44</v>
      </c>
      <c r="D14" s="127" t="s">
        <v>45</v>
      </c>
      <c r="E14" s="67" t="s">
        <v>65</v>
      </c>
      <c r="F14" s="94" t="s">
        <v>15</v>
      </c>
      <c r="G14" s="105">
        <v>18</v>
      </c>
      <c r="H14" s="96"/>
      <c r="I14" s="97">
        <f t="shared" si="0"/>
        <v>18</v>
      </c>
      <c r="J14" s="109">
        <v>435</v>
      </c>
      <c r="K14" s="56">
        <v>405</v>
      </c>
      <c r="L14" s="57">
        <f t="shared" si="1"/>
        <v>7.4074074074074181E-2</v>
      </c>
      <c r="M14" s="90"/>
      <c r="N14" s="121"/>
      <c r="O14" s="122"/>
    </row>
    <row r="15" spans="1:15" s="59" customFormat="1" ht="63.75" hidden="1" customHeight="1" x14ac:dyDescent="0.3">
      <c r="A15" s="101" t="s">
        <v>17</v>
      </c>
      <c r="B15" s="65"/>
      <c r="C15" s="66" t="s">
        <v>55</v>
      </c>
      <c r="D15" s="66" t="s">
        <v>56</v>
      </c>
      <c r="E15" s="67" t="s">
        <v>65</v>
      </c>
      <c r="F15" s="94" t="s">
        <v>15</v>
      </c>
      <c r="G15" s="105" t="s">
        <v>70</v>
      </c>
      <c r="H15" s="96" t="s">
        <v>70</v>
      </c>
      <c r="I15" s="97">
        <f t="shared" si="0"/>
        <v>0</v>
      </c>
      <c r="J15" s="109">
        <v>435</v>
      </c>
      <c r="K15" s="56">
        <v>410</v>
      </c>
      <c r="L15" s="57">
        <f t="shared" si="1"/>
        <v>6.0975609756097615E-2</v>
      </c>
      <c r="M15" s="90"/>
      <c r="N15" s="121"/>
      <c r="O15" s="122"/>
    </row>
    <row r="16" spans="1:15" s="59" customFormat="1" ht="63.75" hidden="1" customHeight="1" x14ac:dyDescent="0.3">
      <c r="A16" s="101" t="s">
        <v>17</v>
      </c>
      <c r="B16" s="65"/>
      <c r="C16" s="66" t="s">
        <v>49</v>
      </c>
      <c r="D16" s="66" t="s">
        <v>50</v>
      </c>
      <c r="E16" s="67" t="s">
        <v>67</v>
      </c>
      <c r="F16" s="94" t="s">
        <v>15</v>
      </c>
      <c r="G16" s="105" t="s">
        <v>70</v>
      </c>
      <c r="H16" s="96" t="s">
        <v>70</v>
      </c>
      <c r="I16" s="97">
        <f t="shared" si="0"/>
        <v>0</v>
      </c>
      <c r="J16" s="109">
        <v>455</v>
      </c>
      <c r="K16" s="56">
        <v>415</v>
      </c>
      <c r="L16" s="57">
        <f t="shared" si="1"/>
        <v>9.6385542168674787E-2</v>
      </c>
      <c r="M16" s="90"/>
      <c r="N16" s="121"/>
      <c r="O16" s="122"/>
    </row>
    <row r="17" spans="1:15" s="59" customFormat="1" ht="63.75" customHeight="1" x14ac:dyDescent="0.3">
      <c r="A17" s="64" t="s">
        <v>17</v>
      </c>
      <c r="B17" s="65"/>
      <c r="C17" s="127" t="s">
        <v>38</v>
      </c>
      <c r="D17" s="127" t="s">
        <v>31</v>
      </c>
      <c r="E17" s="67" t="s">
        <v>68</v>
      </c>
      <c r="F17" s="94" t="s">
        <v>15</v>
      </c>
      <c r="G17" s="105">
        <v>95</v>
      </c>
      <c r="H17" s="96"/>
      <c r="I17" s="97">
        <f t="shared" si="0"/>
        <v>95</v>
      </c>
      <c r="J17" s="109">
        <v>442</v>
      </c>
      <c r="K17" s="56">
        <v>390</v>
      </c>
      <c r="L17" s="57">
        <f t="shared" si="1"/>
        <v>0.1333333333333333</v>
      </c>
      <c r="M17" s="90"/>
      <c r="N17" s="121"/>
      <c r="O17" s="122"/>
    </row>
    <row r="18" spans="1:15" s="59" customFormat="1" ht="63.75" customHeight="1" x14ac:dyDescent="0.3">
      <c r="A18" s="64" t="s">
        <v>17</v>
      </c>
      <c r="B18" s="65"/>
      <c r="C18" s="127" t="s">
        <v>37</v>
      </c>
      <c r="D18" s="127" t="s">
        <v>32</v>
      </c>
      <c r="E18" s="67" t="s">
        <v>67</v>
      </c>
      <c r="F18" s="94" t="s">
        <v>15</v>
      </c>
      <c r="G18" s="105">
        <v>40</v>
      </c>
      <c r="H18" s="96"/>
      <c r="I18" s="97">
        <f t="shared" si="0"/>
        <v>40</v>
      </c>
      <c r="J18" s="109">
        <v>436</v>
      </c>
      <c r="K18" s="56">
        <v>430</v>
      </c>
      <c r="L18" s="57">
        <f t="shared" si="1"/>
        <v>1.3953488372093092E-2</v>
      </c>
      <c r="M18" s="90"/>
      <c r="N18" s="121"/>
      <c r="O18" s="122"/>
    </row>
    <row r="19" spans="1:15" s="59" customFormat="1" ht="63.75" customHeight="1" thickBot="1" x14ac:dyDescent="0.35">
      <c r="A19" s="68" t="s">
        <v>17</v>
      </c>
      <c r="B19" s="72"/>
      <c r="C19" s="128" t="s">
        <v>46</v>
      </c>
      <c r="D19" s="128" t="s">
        <v>47</v>
      </c>
      <c r="E19" s="103" t="s">
        <v>69</v>
      </c>
      <c r="F19" s="95" t="s">
        <v>15</v>
      </c>
      <c r="G19" s="106">
        <v>44</v>
      </c>
      <c r="H19" s="102"/>
      <c r="I19" s="98">
        <f t="shared" si="0"/>
        <v>44</v>
      </c>
      <c r="J19" s="112">
        <v>464</v>
      </c>
      <c r="K19" s="69">
        <v>415</v>
      </c>
      <c r="L19" s="70">
        <f t="shared" si="1"/>
        <v>0.1180722891566266</v>
      </c>
      <c r="M19" s="71"/>
      <c r="N19" s="121"/>
      <c r="O19" s="122"/>
    </row>
  </sheetData>
  <autoFilter ref="A3:M20" xr:uid="{00000000-0009-0000-0000-000000000000}">
    <filterColumn colId="8">
      <filters blank="1">
        <filter val="109"/>
        <filter val="110"/>
        <filter val="13"/>
        <filter val="159"/>
        <filter val="18"/>
        <filter val="36"/>
        <filter val="40"/>
        <filter val="44"/>
        <filter val="54"/>
        <filter val="77"/>
        <filter val="95"/>
      </filters>
    </filterColumn>
  </autoFilter>
  <conditionalFormatting sqref="C1:C8 C10:C14 C16:C1048576">
    <cfRule type="duplicateValues" dxfId="78" priority="25"/>
    <cfRule type="duplicateValues" dxfId="77" priority="36"/>
  </conditionalFormatting>
  <conditionalFormatting sqref="C3">
    <cfRule type="duplicateValues" dxfId="76" priority="405"/>
    <cfRule type="duplicateValues" dxfId="75" priority="404"/>
  </conditionalFormatting>
  <conditionalFormatting sqref="C4">
    <cfRule type="duplicateValues" dxfId="74" priority="53"/>
    <cfRule type="duplicateValues" dxfId="73" priority="417"/>
    <cfRule type="duplicateValues" dxfId="72" priority="416"/>
    <cfRule type="duplicateValues" dxfId="71" priority="415"/>
    <cfRule type="duplicateValues" dxfId="70" priority="46"/>
    <cfRule type="duplicateValues" dxfId="69" priority="47"/>
    <cfRule type="duplicateValues" dxfId="68" priority="48"/>
  </conditionalFormatting>
  <conditionalFormatting sqref="C6">
    <cfRule type="duplicateValues" dxfId="67" priority="420"/>
    <cfRule type="duplicateValues" dxfId="66" priority="419"/>
    <cfRule type="duplicateValues" dxfId="65" priority="393"/>
    <cfRule type="duplicateValues" dxfId="64" priority="418"/>
  </conditionalFormatting>
  <conditionalFormatting sqref="C7">
    <cfRule type="duplicateValues" dxfId="63" priority="65"/>
    <cfRule type="duplicateValues" dxfId="62" priority="66"/>
    <cfRule type="duplicateValues" dxfId="61" priority="414"/>
    <cfRule type="duplicateValues" dxfId="60" priority="413"/>
    <cfRule type="duplicateValues" dxfId="59" priority="412"/>
  </conditionalFormatting>
  <conditionalFormatting sqref="C9">
    <cfRule type="duplicateValues" dxfId="58" priority="442"/>
    <cfRule type="duplicateValues" dxfId="57" priority="15"/>
    <cfRule type="duplicateValues" dxfId="56" priority="16"/>
    <cfRule type="duplicateValues" dxfId="55" priority="17"/>
    <cfRule type="duplicateValues" dxfId="54" priority="18"/>
    <cfRule type="duplicateValues" dxfId="53" priority="19"/>
    <cfRule type="duplicateValues" dxfId="52" priority="443"/>
    <cfRule type="duplicateValues" dxfId="51" priority="444"/>
  </conditionalFormatting>
  <conditionalFormatting sqref="C12:C13">
    <cfRule type="duplicateValues" dxfId="50" priority="408"/>
    <cfRule type="duplicateValues" dxfId="49" priority="407"/>
    <cfRule type="duplicateValues" dxfId="48" priority="406"/>
  </conditionalFormatting>
  <conditionalFormatting sqref="C15">
    <cfRule type="duplicateValues" dxfId="47" priority="7"/>
    <cfRule type="duplicateValues" dxfId="46" priority="8"/>
    <cfRule type="duplicateValues" dxfId="45" priority="11"/>
    <cfRule type="duplicateValues" dxfId="44" priority="447"/>
    <cfRule type="duplicateValues" dxfId="43" priority="5"/>
    <cfRule type="duplicateValues" dxfId="42" priority="6"/>
    <cfRule type="duplicateValues" dxfId="41" priority="445"/>
    <cfRule type="duplicateValues" dxfId="40" priority="446"/>
  </conditionalFormatting>
  <conditionalFormatting sqref="C18">
    <cfRule type="duplicateValues" dxfId="39" priority="71"/>
    <cfRule type="duplicateValues" dxfId="38" priority="409"/>
    <cfRule type="duplicateValues" dxfId="37" priority="410"/>
    <cfRule type="duplicateValues" dxfId="36" priority="411"/>
    <cfRule type="duplicateValues" dxfId="35" priority="77"/>
  </conditionalFormatting>
  <conditionalFormatting sqref="C19">
    <cfRule type="duplicateValues" dxfId="34" priority="45"/>
    <cfRule type="duplicateValues" dxfId="33" priority="44"/>
    <cfRule type="duplicateValues" dxfId="32" priority="43"/>
    <cfRule type="duplicateValues" dxfId="31" priority="42"/>
    <cfRule type="duplicateValues" dxfId="30" priority="41"/>
    <cfRule type="duplicateValues" dxfId="29" priority="40"/>
    <cfRule type="duplicateValues" dxfId="28" priority="39"/>
  </conditionalFormatting>
  <conditionalFormatting sqref="C20:C1048576 C1:C3 C5 C8 C10:C14 C16:C17">
    <cfRule type="duplicateValues" dxfId="27" priority="329"/>
  </conditionalFormatting>
  <conditionalFormatting sqref="C20:C1048576 C1:C3 C5:C6 C8 C10:C14 C16:C17">
    <cfRule type="duplicateValues" dxfId="26" priority="78"/>
  </conditionalFormatting>
  <conditionalFormatting sqref="C20:C1048576 C1:C3 C5:C8 C10:C14 C16:C18">
    <cfRule type="duplicateValues" dxfId="25" priority="64"/>
  </conditionalFormatting>
  <conditionalFormatting sqref="C20:C1048576 C1:C3 C8 C14 C5 C10:C11 C16:C17">
    <cfRule type="duplicateValues" dxfId="24" priority="428"/>
    <cfRule type="duplicateValues" dxfId="23" priority="429"/>
    <cfRule type="duplicateValues" dxfId="22" priority="421"/>
  </conditionalFormatting>
  <conditionalFormatting sqref="F4:J4 F6:J9 F11:H19">
    <cfRule type="containsBlanks" dxfId="21" priority="4">
      <formula>LEN(TRIM(F4))=0</formula>
    </cfRule>
  </conditionalFormatting>
  <conditionalFormatting sqref="G4:H4 G6:H9 G11:H19">
    <cfRule type="notContainsBlanks" dxfId="20" priority="3">
      <formula>LEN(TRIM(G4))&gt;0</formula>
    </cfRule>
  </conditionalFormatting>
  <conditionalFormatting sqref="I11:I18">
    <cfRule type="containsBlanks" dxfId="19" priority="9">
      <formula>LEN(TRIM(I11))=0</formula>
    </cfRule>
  </conditionalFormatting>
  <conditionalFormatting sqref="J11 I12:J19">
    <cfRule type="containsBlanks" dxfId="18" priority="294">
      <formula>LEN(TRIM(I11))=0</formula>
    </cfRule>
  </conditionalFormatting>
  <conditionalFormatting sqref="K4:L4 K6:L9 K11:L19">
    <cfRule type="notContainsBlanks" dxfId="17" priority="1">
      <formula>LEN(TRIM(K4))&gt;0</formula>
    </cfRule>
    <cfRule type="containsBlanks" dxfId="16" priority="2">
      <formula>LEN(TRIM(K4))=0</formula>
    </cfRule>
  </conditionalFormatting>
  <pageMargins left="0" right="0" top="0" bottom="0" header="0.3" footer="0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Q5"/>
  <sheetViews>
    <sheetView workbookViewId="0">
      <selection activeCell="D10" sqref="D10"/>
    </sheetView>
  </sheetViews>
  <sheetFormatPr defaultColWidth="8.77734375" defaultRowHeight="14.4" x14ac:dyDescent="0.3"/>
  <cols>
    <col min="1" max="1" width="12.21875" customWidth="1"/>
    <col min="2" max="2" width="14.44140625" customWidth="1"/>
    <col min="3" max="3" width="15.77734375" customWidth="1"/>
    <col min="4" max="4" width="30.21875" customWidth="1"/>
    <col min="5" max="5" width="37.44140625" customWidth="1"/>
    <col min="6" max="6" width="9.21875" customWidth="1"/>
    <col min="7" max="7" width="8.77734375" customWidth="1"/>
    <col min="8" max="9" width="12.77734375" customWidth="1"/>
    <col min="10" max="10" width="9.21875" customWidth="1"/>
    <col min="11" max="12" width="13.21875" customWidth="1"/>
    <col min="13" max="13" width="10.21875" customWidth="1"/>
    <col min="14" max="14" width="8.77734375" customWidth="1"/>
  </cols>
  <sheetData>
    <row r="1" spans="1:17" ht="15" thickBot="1" x14ac:dyDescent="0.35"/>
    <row r="2" spans="1:17" s="16" customFormat="1" ht="42.75" customHeight="1" thickBot="1" x14ac:dyDescent="0.35">
      <c r="A2" s="12" t="s">
        <v>3</v>
      </c>
      <c r="B2" s="13" t="s">
        <v>8</v>
      </c>
      <c r="C2" s="13" t="s">
        <v>4</v>
      </c>
      <c r="D2" s="14" t="s">
        <v>9</v>
      </c>
      <c r="E2" s="14" t="s">
        <v>21</v>
      </c>
      <c r="F2" s="14" t="s">
        <v>10</v>
      </c>
      <c r="G2" s="27" t="s">
        <v>26</v>
      </c>
      <c r="H2" s="30" t="s">
        <v>11</v>
      </c>
      <c r="I2" s="15" t="s">
        <v>24</v>
      </c>
      <c r="J2" s="31" t="s">
        <v>25</v>
      </c>
      <c r="K2" s="28" t="s">
        <v>12</v>
      </c>
      <c r="L2" s="17" t="s">
        <v>13</v>
      </c>
      <c r="M2" s="18" t="s">
        <v>14</v>
      </c>
      <c r="N2" s="37"/>
      <c r="O2" s="25"/>
    </row>
    <row r="3" spans="1:17" s="1" customFormat="1" ht="62.25" customHeight="1" thickTop="1" thickBot="1" x14ac:dyDescent="0.35">
      <c r="A3" s="7" t="s">
        <v>16</v>
      </c>
      <c r="B3" s="8"/>
      <c r="C3" s="11" t="s">
        <v>2</v>
      </c>
      <c r="D3" s="11" t="s">
        <v>5</v>
      </c>
      <c r="E3" s="9" t="s">
        <v>18</v>
      </c>
      <c r="F3" s="10" t="s">
        <v>15</v>
      </c>
      <c r="G3" s="36"/>
      <c r="H3" s="34">
        <v>430</v>
      </c>
      <c r="I3" s="24">
        <v>412</v>
      </c>
      <c r="J3" s="35">
        <f t="shared" ref="J3:J5" si="0">H3/I3-1</f>
        <v>4.3689320388349495E-2</v>
      </c>
      <c r="K3" s="29">
        <v>869</v>
      </c>
      <c r="L3" s="20">
        <v>1079</v>
      </c>
      <c r="M3" s="22"/>
      <c r="N3" s="38"/>
      <c r="O3" s="38"/>
      <c r="P3" s="26"/>
      <c r="Q3" s="26"/>
    </row>
    <row r="4" spans="1:17" s="1" customFormat="1" ht="62.25" customHeight="1" x14ac:dyDescent="0.3">
      <c r="A4" s="6" t="s">
        <v>17</v>
      </c>
      <c r="B4" s="4"/>
      <c r="C4" s="5" t="s">
        <v>1</v>
      </c>
      <c r="D4" s="5" t="s">
        <v>7</v>
      </c>
      <c r="E4" s="2" t="s">
        <v>19</v>
      </c>
      <c r="F4" s="3" t="s">
        <v>15</v>
      </c>
      <c r="G4" s="36"/>
      <c r="H4" s="32">
        <v>385</v>
      </c>
      <c r="I4" s="23">
        <v>369</v>
      </c>
      <c r="J4" s="33">
        <f t="shared" si="0"/>
        <v>4.3360433604336057E-2</v>
      </c>
      <c r="K4" s="29">
        <v>779</v>
      </c>
      <c r="L4" s="19">
        <v>969</v>
      </c>
      <c r="M4" s="21"/>
      <c r="N4" s="38"/>
      <c r="O4" s="38"/>
      <c r="P4" s="26"/>
      <c r="Q4" s="26"/>
    </row>
    <row r="5" spans="1:17" s="1" customFormat="1" ht="62.25" customHeight="1" x14ac:dyDescent="0.3">
      <c r="A5" s="6" t="s">
        <v>17</v>
      </c>
      <c r="B5" s="4"/>
      <c r="C5" s="5" t="s">
        <v>0</v>
      </c>
      <c r="D5" s="5" t="s">
        <v>6</v>
      </c>
      <c r="E5" s="2" t="s">
        <v>20</v>
      </c>
      <c r="F5" s="3" t="s">
        <v>15</v>
      </c>
      <c r="G5" s="36"/>
      <c r="H5" s="32">
        <v>358</v>
      </c>
      <c r="I5" s="23">
        <v>343</v>
      </c>
      <c r="J5" s="33">
        <f t="shared" si="0"/>
        <v>4.3731778425655898E-2</v>
      </c>
      <c r="K5" s="29">
        <v>719</v>
      </c>
      <c r="L5" s="19">
        <v>899</v>
      </c>
      <c r="M5" s="21"/>
      <c r="N5" s="38"/>
      <c r="O5" s="38"/>
      <c r="P5" s="26"/>
      <c r="Q5" s="26"/>
    </row>
  </sheetData>
  <conditionalFormatting sqref="C2">
    <cfRule type="duplicateValues" dxfId="15" priority="11"/>
    <cfRule type="duplicateValues" dxfId="14" priority="12"/>
    <cfRule type="duplicateValues" dxfId="13" priority="13"/>
    <cfRule type="duplicateValues" dxfId="12" priority="14"/>
    <cfRule type="duplicateValues" dxfId="11" priority="15"/>
  </conditionalFormatting>
  <conditionalFormatting sqref="C3">
    <cfRule type="duplicateValues" dxfId="10" priority="17"/>
    <cfRule type="duplicateValues" dxfId="9" priority="22"/>
    <cfRule type="duplicateValues" dxfId="8" priority="23"/>
  </conditionalFormatting>
  <conditionalFormatting sqref="C4">
    <cfRule type="duplicateValues" dxfId="7" priority="5"/>
    <cfRule type="duplicateValues" dxfId="6" priority="9"/>
    <cfRule type="duplicateValues" dxfId="5" priority="10"/>
  </conditionalFormatting>
  <conditionalFormatting sqref="C5">
    <cfRule type="duplicateValues" dxfId="4" priority="1"/>
    <cfRule type="duplicateValues" dxfId="3" priority="3"/>
    <cfRule type="duplicateValues" dxfId="2" priority="4"/>
  </conditionalFormatting>
  <conditionalFormatting sqref="F3:L3">
    <cfRule type="containsBlanks" dxfId="1" priority="16">
      <formula>LEN(TRIM(F3))=0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Blanks" priority="180" id="{96380F6B-B653-4D54-921B-32C3DE4EE98C}">
            <xm:f>LEN(TRIM('line-up 2026'!#REF!))=0</xm:f>
            <x14:dxf>
              <fill>
                <patternFill>
                  <bgColor theme="0" tint="-0.14996795556505021"/>
                </patternFill>
              </fill>
            </x14:dxf>
          </x14:cfRule>
          <xm:sqref>F4:L5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line-up 2026</vt:lpstr>
      <vt:lpstr>silinen mallar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Orkhan E. Abbasov</dc:creator>
  <cp:lastModifiedBy>Anar</cp:lastModifiedBy>
  <dcterms:created xsi:type="dcterms:W3CDTF">2022-11-03T06:25:35Z</dcterms:created>
  <dcterms:modified xsi:type="dcterms:W3CDTF">2026-06-01T07:39:42Z</dcterms:modified>
</cp:coreProperties>
</file>